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RESTI PROJECT\"/>
    </mc:Choice>
  </mc:AlternateContent>
  <xr:revisionPtr revIDLastSave="0" documentId="13_ncr:1_{38283D7D-438C-440B-AB8C-CF993F495D1B}" xr6:coauthVersionLast="47" xr6:coauthVersionMax="47" xr10:uidLastSave="{00000000-0000-0000-0000-000000000000}"/>
  <bookViews>
    <workbookView xWindow="-120" yWindow="-120" windowWidth="29040" windowHeight="15720" xr2:uid="{BBA784BA-6B5C-499C-89AA-1B9A5E33A240}"/>
  </bookViews>
  <sheets>
    <sheet name="RAW DATA" sheetId="1" r:id="rId1"/>
    <sheet name="BENEISH M-SCORE" sheetId="2" r:id="rId2"/>
    <sheet name="ALTMAN Z-SCORE" sheetId="3" r:id="rId3"/>
    <sheet name="RED FLAGS" sheetId="4" r:id="rId4"/>
    <sheet name="FINAL REPORT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5" l="1" a="1"/>
  <c r="B13" i="5" s="1"/>
  <c r="B12" i="5" a="1"/>
  <c r="B12" i="5" s="1"/>
  <c r="B11" i="5" a="1"/>
  <c r="B11" i="5" s="1"/>
  <c r="B10" i="5" a="1"/>
  <c r="B10" i="5" s="1"/>
  <c r="F5" i="4"/>
  <c r="F10" i="4"/>
  <c r="B14" i="5" s="1"/>
  <c r="F8" i="4"/>
  <c r="F7" i="4"/>
  <c r="F6" i="4"/>
  <c r="F4" i="4"/>
  <c r="E8" i="4"/>
  <c r="D8" i="4"/>
  <c r="E7" i="4"/>
  <c r="D7" i="4"/>
  <c r="E6" i="4"/>
  <c r="E5" i="4"/>
  <c r="E4" i="4"/>
  <c r="D6" i="4"/>
  <c r="D5" i="4"/>
  <c r="D4" i="4"/>
  <c r="E11" i="3"/>
  <c r="E10" i="3"/>
  <c r="E8" i="3"/>
  <c r="E7" i="3"/>
  <c r="E6" i="3"/>
  <c r="E5" i="3"/>
  <c r="E4" i="3"/>
  <c r="C8" i="3"/>
  <c r="C7" i="3"/>
  <c r="C6" i="3"/>
  <c r="C5" i="3"/>
  <c r="C4" i="3"/>
  <c r="E8" i="2"/>
  <c r="F8" i="2" s="1"/>
  <c r="E11" i="2"/>
  <c r="F11" i="2" s="1"/>
  <c r="E9" i="2"/>
  <c r="F9" i="2" s="1"/>
  <c r="E4" i="2"/>
  <c r="D11" i="2"/>
  <c r="D10" i="2"/>
  <c r="E10" i="2" s="1"/>
  <c r="F10" i="2" s="1"/>
  <c r="D9" i="2"/>
  <c r="D8" i="2"/>
  <c r="E7" i="2" s="1"/>
  <c r="F7" i="2" s="1"/>
  <c r="D7" i="2"/>
  <c r="E6" i="2" s="1"/>
  <c r="F6" i="2" s="1"/>
  <c r="D6" i="2"/>
  <c r="D5" i="2"/>
  <c r="C6" i="2"/>
  <c r="E5" i="2" s="1"/>
  <c r="F5" i="2" s="1"/>
  <c r="C7" i="2"/>
  <c r="C8" i="2"/>
  <c r="C9" i="2"/>
  <c r="C10" i="2"/>
  <c r="D4" i="2"/>
  <c r="C4" i="2"/>
  <c r="C5" i="2"/>
  <c r="E24" i="1"/>
  <c r="D24" i="1"/>
  <c r="C24" i="1"/>
  <c r="E7" i="1"/>
  <c r="D7" i="1"/>
  <c r="C7" i="1"/>
  <c r="B24" i="1"/>
  <c r="B7" i="1"/>
  <c r="E14" i="2" l="1"/>
  <c r="E15" i="2" s="1"/>
  <c r="F4" i="2"/>
  <c r="B17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<sst xmlns="http://schemas.openxmlformats.org/spreadsheetml/2006/main" count="151" uniqueCount="150">
  <si>
    <t>🍎  RedFlagIQ  —  Apple Inc. (AAPL)  |  Raw Financial Data</t>
  </si>
  <si>
    <t>Source: Stockanalysis.com  |  Fiscal Year ends September  |  All figures in USD Millions</t>
  </si>
  <si>
    <t>Line Item</t>
  </si>
  <si>
    <t>FY2021
(Sep '21)</t>
  </si>
  <si>
    <t>FY2022
(Sep '22)</t>
  </si>
  <si>
    <t>FY2023
(Sep '23)</t>
  </si>
  <si>
    <t>FY2024
(Sep '24)</t>
  </si>
  <si>
    <t>INCOME STATEMENT</t>
  </si>
  <si>
    <t>Revenue</t>
  </si>
  <si>
    <t>Cost of Revenue (COGS)</t>
  </si>
  <si>
    <t>Gross Profit</t>
  </si>
  <si>
    <t>SG&amp;A Expenses</t>
  </si>
  <si>
    <t>Depreciation &amp; Amortisation</t>
  </si>
  <si>
    <t>EBIT (Operating Income)</t>
  </si>
  <si>
    <t>Net Income</t>
  </si>
  <si>
    <t>BALANCE SHEET</t>
  </si>
  <si>
    <t>Total Assets</t>
  </si>
  <si>
    <t>Current Assets</t>
  </si>
  <si>
    <t>Current Liabilities</t>
  </si>
  <si>
    <t>Accounts Receivable</t>
  </si>
  <si>
    <t>Long Term Debt</t>
  </si>
  <si>
    <t>Total Liabilities</t>
  </si>
  <si>
    <t>Retained Earnings</t>
  </si>
  <si>
    <t>Market Capitalisation</t>
  </si>
  <si>
    <t>CASH FLOW STATEMENT</t>
  </si>
  <si>
    <t>Operating Cash Flow (OCF)</t>
  </si>
  <si>
    <t>Capital Expenditure</t>
  </si>
  <si>
    <t>Free Cash Flow (FCF)</t>
  </si>
  <si>
    <t>🔵 Blue text = Hardcoded inputs (you type these in)</t>
  </si>
  <si>
    <t>⚫ Black text = Calculated by formula</t>
  </si>
  <si>
    <t>🟡 Yellow = Cells that need your attention</t>
  </si>
  <si>
    <t>🟢 Green text = Pulled from another sheet</t>
  </si>
  <si>
    <t>🚨  Beneish M-Score  |  Earnings Manipulation Detector</t>
  </si>
  <si>
    <t>Score &gt; -1.78 signals likely earnings manipulation  |  Comparing FY2023 (Prior Year) vs FY2024 (Current Year)</t>
  </si>
  <si>
    <t>Ratio</t>
  </si>
  <si>
    <t>What It Checks</t>
  </si>
  <si>
    <t>Prior Year (FY2023)</t>
  </si>
  <si>
    <t>Current Year (FY2024)</t>
  </si>
  <si>
    <t>Calculated Value</t>
  </si>
  <si>
    <t>Red Flag?</t>
  </si>
  <si>
    <t>1. DSRI
Days Sales Receivable Index</t>
  </si>
  <si>
    <t>Are receivables growing faster than sales?
High = possible fake revenue</t>
  </si>
  <si>
    <t>2. GMI
Gross Margin Index</t>
  </si>
  <si>
    <t>Is gross margin shrinking?
Shrinking margins = pressure to manipulate</t>
  </si>
  <si>
    <t>3. AQI
Asset Quality Index</t>
  </si>
  <si>
    <t>4. SGI
Sales Growth Index</t>
  </si>
  <si>
    <t>Is sales growth very high?
High growth = pressure to sustain it</t>
  </si>
  <si>
    <t>5. DEPI
Depreciation Index</t>
  </si>
  <si>
    <t>Is depreciation slowing down?
Slowing = inflating assets artificially</t>
  </si>
  <si>
    <t>6. SGAI
SGA Expense Index</t>
  </si>
  <si>
    <t>Are overheads growing faster than sales?
High = operational inefficiency</t>
  </si>
  <si>
    <t>7. LVGI
Leverage Index</t>
  </si>
  <si>
    <t>Is the company taking on more debt?
More debt = more pressure = higher risk</t>
  </si>
  <si>
    <t>8. TATA
Total Accruals to Total Assets</t>
  </si>
  <si>
    <t>Are earnings backed by real cash?
High = paper profits, not real cash</t>
  </si>
  <si>
    <t>https://d.docs.live.net/A630F44E73B8FF02/Documents/REFFLAG%20IQ.xlsx</t>
  </si>
  <si>
    <t>N/A (only current year needed)</t>
  </si>
  <si>
    <t>M-SCORE FORMULA:  =  -4.84 + (0.920×DSRI) + (0.528×GMI) + (0.404×AQI) + (0.892×SGI) + (0.115×DEPI) - (0.172×SGAI) - (0.327×TATA) + (4.679×LVGI)</t>
  </si>
  <si>
    <t>Final M-Score</t>
  </si>
  <si>
    <t>Interpretation</t>
  </si>
  <si>
    <t>📊  Altman Z-Score  |  Bankruptcy &amp; Financial Distress Predictor</t>
  </si>
  <si>
    <t>Z &gt; 2.99 = Safe  |  1.81–2.99 = Grey Zone  |  &lt; 1.81 = Distress  |  Using FY2024 data</t>
  </si>
  <si>
    <t>Factor</t>
  </si>
  <si>
    <t>What It Measures</t>
  </si>
  <si>
    <t>Formula / Value</t>
  </si>
  <si>
    <t>Weight</t>
  </si>
  <si>
    <t>Weighted Value</t>
  </si>
  <si>
    <t>X1 — Working Capital / Total Assets</t>
  </si>
  <si>
    <t>X2 — Retained Earnings / Total Assets</t>
  </si>
  <si>
    <t>X3 — EBIT / Total Assets</t>
  </si>
  <si>
    <t>X4 — Market Cap / Total Liabilities</t>
  </si>
  <si>
    <t>X5 — Revenue / Total Assets</t>
  </si>
  <si>
    <t>Short-term financial cushion.
Negative = can't cover short-term bills</t>
  </si>
  <si>
    <t>Cumulative profitability.
Negative for Apple = massive buybacks</t>
  </si>
  <si>
    <t>How well assets generate operating profit.
Higher = more efficient</t>
  </si>
  <si>
    <t>Can market value cover all debts?
Very high for Apple = safe</t>
  </si>
  <si>
    <t>Asset turnover efficiency.
How much revenue per dollar of assets</t>
  </si>
  <si>
    <t>Liquidity buffer</t>
  </si>
  <si>
    <t>Long-term profitability</t>
  </si>
  <si>
    <t>Operating efficiency</t>
  </si>
  <si>
    <t>Market-based solvency</t>
  </si>
  <si>
    <t>Asset efficiency</t>
  </si>
  <si>
    <t>Final Z-Score</t>
  </si>
  <si>
    <t>Zone</t>
  </si>
  <si>
    <t>QUICK REFERENCE</t>
  </si>
  <si>
    <t>Z &gt; 2.99</t>
  </si>
  <si>
    <t>Safe Zone</t>
  </si>
  <si>
    <t>Low probability of bankruptcy</t>
  </si>
  <si>
    <t>1.81 – 2.99</t>
  </si>
  <si>
    <t>Grey Zone</t>
  </si>
  <si>
    <t>Uncertain — monitor financial health</t>
  </si>
  <si>
    <t>&lt; 1.81</t>
  </si>
  <si>
    <t>Distress Zone</t>
  </si>
  <si>
    <t>High probability of financial distress</t>
  </si>
  <si>
    <t>🔍  Custom Red Flag Checklist  |  Apple Inc. (AAPL)  |  FY2023 vs FY2024</t>
  </si>
  <si>
    <t>Beyond Beneish &amp; Altman — additional heuristic red flags for fundamental analysis</t>
  </si>
  <si>
    <t>#</t>
  </si>
  <si>
    <t>Red Flag</t>
  </si>
  <si>
    <t>What to Check</t>
  </si>
  <si>
    <t>FY2023 Value</t>
  </si>
  <si>
    <t>FY2024 Value</t>
  </si>
  <si>
    <t>Status</t>
  </si>
  <si>
    <t>1</t>
  </si>
  <si>
    <t>Revenue growing but OCF flat or declining</t>
  </si>
  <si>
    <t>2</t>
  </si>
  <si>
    <t>Receivables growing 2x faster than Revenue</t>
  </si>
  <si>
    <t>3</t>
  </si>
  <si>
    <t>Gross Margin declining 2 consecutive years</t>
  </si>
  <si>
    <t>4</t>
  </si>
  <si>
    <t>Debt-to-Equity spike &gt; 40% in one year</t>
  </si>
  <si>
    <t>5</t>
  </si>
  <si>
    <t>Net Income positive but FCF negative</t>
  </si>
  <si>
    <t>Revenue growth &gt; 10% AND OCF growth &lt; 2%
→ Earnings not backed by cash</t>
  </si>
  <si>
    <t>AR growth &gt; 2 × Revenue growth
→ Possible fake or uncollected sales</t>
  </si>
  <si>
    <t>GM shrinking YoY for 2+ years
→ Core business under pressure</t>
  </si>
  <si>
    <t>D/E ratio jumped &gt; 40% YoY
→ Rapid leverage increase = higher risk</t>
  </si>
  <si>
    <t>NI &gt; 0 AND FCF &lt; 0
→ Profits on paper but no real cash</t>
  </si>
  <si>
    <t>Total Red Flags Triggered</t>
  </si>
  <si>
    <t>RedFlagIQ  —  Company Risk Report</t>
  </si>
  <si>
    <t>Automated Financial Statement Analysis  |  Forensic Finance Framework</t>
  </si>
  <si>
    <t>Company Name</t>
  </si>
  <si>
    <t>Apple Inc.</t>
  </si>
  <si>
    <t>Ticker</t>
  </si>
  <si>
    <t>AAPL</t>
  </si>
  <si>
    <t>Exchange</t>
  </si>
  <si>
    <t>NASDAQ</t>
  </si>
  <si>
    <t>Analysis Year</t>
  </si>
  <si>
    <t>FY2024 (Sep 2024)</t>
  </si>
  <si>
    <t>Report Date</t>
  </si>
  <si>
    <t>2024</t>
  </si>
  <si>
    <t>SCORING RESULTS</t>
  </si>
  <si>
    <t>Beneish M-Score</t>
  </si>
  <si>
    <t>M-Score Verdict</t>
  </si>
  <si>
    <t>Altman Z-Score</t>
  </si>
  <si>
    <t>Z-Score Zone</t>
  </si>
  <si>
    <t>Custom Flags Triggered</t>
  </si>
  <si>
    <t>OVERALL RISK RATING</t>
  </si>
  <si>
    <t>Risk Rating</t>
  </si>
  <si>
    <t>ANALYST NOTES</t>
  </si>
  <si>
    <t>Key Finding 1</t>
  </si>
  <si>
    <t>Receivables growing faster than revenue — monitor AR trends</t>
  </si>
  <si>
    <t>Key Finding 2</t>
  </si>
  <si>
    <t>M-Score in grey zone — driven by DSRI and LVGI ratios</t>
  </si>
  <si>
    <t>Key Finding 3</t>
  </si>
  <si>
    <t>Negative retained earnings = buyback programme, not losses</t>
  </si>
  <si>
    <t>Key Finding 4</t>
  </si>
  <si>
    <t>Z-Score of ~8.9 — zero financial distress risk</t>
  </si>
  <si>
    <t>Conclusion</t>
  </si>
  <si>
    <t>Overall LOW risk. Apple financials are healthy. DSRI warrants monitoring.</t>
  </si>
  <si>
    <t>⚠️  DISCLAIMER: This model is for educational and portfolio purposes only. Not financial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</si>
</sst>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000"/>
    <numFmt numFmtId="166" formatCode="0.0"/>
  </numFmts>
  <fonts count="4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i/>
      <sz val="9"/>
      <color rgb="FF0000FF"/>
      <name val="Arial"/>
      <family val="2"/>
    </font>
    <font>
      <i/>
      <sz val="9"/>
      <color rgb="FF000000"/>
      <name val="Arial"/>
      <family val="2"/>
    </font>
    <font>
      <i/>
      <sz val="9"/>
      <color rgb="FF7D6608"/>
      <name val="Arial"/>
      <family val="2"/>
    </font>
    <font>
      <i/>
      <sz val="9"/>
      <color rgb="FF008000"/>
      <name val="Arial"/>
      <family val="2"/>
    </font>
    <font>
      <b/>
      <sz val="9"/>
      <color rgb="FF1F4E79"/>
      <name val="Arial"/>
      <family val="2"/>
    </font>
    <font>
      <i/>
      <sz val="9"/>
      <color rgb="FF595959"/>
      <name val="Arial"/>
      <family val="2"/>
    </font>
    <font>
      <sz val="10"/>
      <color rgb="FF00800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charset val="1"/>
    </font>
    <font>
      <b/>
      <sz val="9"/>
      <color rgb="FFFFFFFF"/>
      <name val="Arial"/>
      <charset val="1"/>
    </font>
    <font>
      <b/>
      <sz val="11"/>
      <color rgb="FFFFFFFF"/>
      <name val="Arial"/>
      <charset val="1"/>
    </font>
    <font>
      <b/>
      <sz val="14"/>
      <color rgb="FFC00000"/>
      <name val="Arial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F4E79"/>
      <name val="Arial"/>
      <charset val="1"/>
    </font>
    <font>
      <i/>
      <sz val="9"/>
      <color rgb="FF595959"/>
      <name val="Arial"/>
      <charset val="1"/>
    </font>
    <font>
      <b/>
      <sz val="10"/>
      <color rgb="FF0000FF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b/>
      <sz val="10"/>
      <color rgb="FF7D6608"/>
      <name val="Arial"/>
      <charset val="1"/>
    </font>
    <font>
      <sz val="10"/>
      <color rgb="FF7D6608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sz val="11"/>
      <color theme="9" tint="-0.249977111117893"/>
      <name val="Calibri"/>
      <family val="2"/>
      <scheme val="minor"/>
    </font>
    <font>
      <b/>
      <sz val="10"/>
      <color rgb="FF1F4E79"/>
      <name val="Arial"/>
      <family val="2"/>
    </font>
    <font>
      <b/>
      <sz val="11"/>
      <color rgb="FFFFFFFF"/>
      <name val="Arial"/>
      <family val="2"/>
    </font>
    <font>
      <b/>
      <sz val="14"/>
      <color rgb="FFC00000"/>
      <name val="Arial"/>
      <family val="2"/>
    </font>
    <font>
      <b/>
      <sz val="10"/>
      <name val="Arial"/>
      <family val="2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1A1A2E"/>
      <name val="Arial"/>
      <family val="2"/>
    </font>
    <font>
      <b/>
      <sz val="14"/>
      <color rgb="FF000000"/>
      <name val="Arial"/>
      <family val="2"/>
    </font>
    <font>
      <i/>
      <sz val="9"/>
      <color rgb="FFC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6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166" fontId="23" fillId="5" borderId="1" xfId="0" applyNumberFormat="1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26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28" fillId="11" borderId="1" xfId="0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165" fontId="0" fillId="13" borderId="1" xfId="0" applyNumberFormat="1" applyFill="1" applyBorder="1"/>
    <xf numFmtId="165" fontId="30" fillId="12" borderId="1" xfId="0" applyNumberFormat="1" applyFont="1" applyFill="1" applyBorder="1" applyAlignment="1">
      <alignment horizontal="center"/>
    </xf>
    <xf numFmtId="0" fontId="31" fillId="4" borderId="1" xfId="0" applyFont="1" applyFill="1" applyBorder="1" applyAlignment="1">
      <alignment horizontal="left" vertical="center" wrapText="1"/>
    </xf>
    <xf numFmtId="9" fontId="0" fillId="0" borderId="0" xfId="1" applyFont="1"/>
    <xf numFmtId="0" fontId="33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38" fillId="6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2" fontId="17" fillId="6" borderId="2" xfId="0" applyNumberFormat="1" applyFont="1" applyFill="1" applyBorder="1" applyAlignment="1">
      <alignment horizontal="center" vertical="center"/>
    </xf>
    <xf numFmtId="2" fontId="17" fillId="6" borderId="4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9" fillId="11" borderId="2" xfId="0" applyFont="1" applyFill="1" applyBorder="1" applyAlignment="1">
      <alignment horizontal="center" vertical="center" wrapText="1"/>
    </xf>
    <xf numFmtId="2" fontId="0" fillId="14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\AppData\Local\Packages\5319275A.WhatsAppDesktop_cv1g1gvanyjgm\LocalState\sessions\19DB0B229B80DD8D3BDBDC2BBBD35A8F0C54683C\transfers\2026-20\RedFlagIQ_Apple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Beneish M-Score"/>
      <sheetName val="Altman Z-Score"/>
      <sheetName val="Custom Red Flags"/>
      <sheetName val="Final Report"/>
    </sheetNames>
    <sheetDataSet>
      <sheetData sheetId="0">
        <row r="5">
          <cell r="D5">
            <v>383285</v>
          </cell>
          <cell r="E5">
            <v>391035</v>
          </cell>
        </row>
        <row r="22">
          <cell r="D22">
            <v>110543</v>
          </cell>
          <cell r="E22">
            <v>118254</v>
          </cell>
        </row>
        <row r="24">
          <cell r="E24">
            <v>108807</v>
          </cell>
        </row>
      </sheetData>
      <sheetData sheetId="1">
        <row r="14">
          <cell r="E14">
            <v>2.8387279071664913</v>
          </cell>
        </row>
      </sheetData>
      <sheetData sheetId="2">
        <row r="10">
          <cell r="E10">
            <v>8.8525503787690436</v>
          </cell>
        </row>
      </sheetData>
      <sheetData sheetId="3">
        <row r="10">
          <cell r="F10">
            <v>1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F85E-53FD-4D9D-82BB-AD212D9DEE47}">
  <dimension ref="A1:E28"/>
  <sheetViews>
    <sheetView tabSelected="1" workbookViewId="0">
      <selection activeCell="E16" sqref="E16"/>
    </sheetView>
  </sheetViews>
  <sheetFormatPr defaultRowHeight="15" x14ac:dyDescent="0.25"/>
  <cols>
    <col min="1" max="1" width="39.42578125" customWidth="1"/>
    <col min="2" max="2" width="20.85546875" customWidth="1"/>
    <col min="3" max="3" width="20.140625" customWidth="1"/>
    <col min="4" max="4" width="15.140625" customWidth="1"/>
    <col min="5" max="5" width="16.42578125" customWidth="1"/>
  </cols>
  <sheetData>
    <row r="1" spans="1:5" ht="29.25" customHeight="1" x14ac:dyDescent="0.25">
      <c r="A1" s="42" t="s">
        <v>0</v>
      </c>
      <c r="B1" s="42"/>
      <c r="C1" s="42"/>
      <c r="D1" s="42"/>
      <c r="E1" s="42"/>
    </row>
    <row r="2" spans="1:5" x14ac:dyDescent="0.25">
      <c r="A2" s="43" t="s">
        <v>1</v>
      </c>
      <c r="B2" s="43"/>
      <c r="C2" s="43"/>
      <c r="D2" s="43"/>
      <c r="E2" s="43"/>
    </row>
    <row r="3" spans="1:5" ht="29.2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5">
      <c r="A4" s="2" t="s">
        <v>7</v>
      </c>
      <c r="B4" s="3"/>
      <c r="C4" s="3"/>
      <c r="D4" s="3"/>
      <c r="E4" s="3"/>
    </row>
    <row r="5" spans="1:5" x14ac:dyDescent="0.25">
      <c r="A5" s="4" t="s">
        <v>8</v>
      </c>
      <c r="B5" s="6">
        <v>365817</v>
      </c>
      <c r="C5" s="6">
        <v>394328</v>
      </c>
      <c r="D5" s="6">
        <v>383285</v>
      </c>
      <c r="E5" s="6">
        <v>391035</v>
      </c>
    </row>
    <row r="6" spans="1:5" x14ac:dyDescent="0.25">
      <c r="A6" s="4" t="s">
        <v>9</v>
      </c>
      <c r="B6" s="6">
        <v>212981</v>
      </c>
      <c r="C6" s="6">
        <v>223546</v>
      </c>
      <c r="D6" s="6">
        <v>214137</v>
      </c>
      <c r="E6" s="6">
        <v>210352</v>
      </c>
    </row>
    <row r="7" spans="1:5" x14ac:dyDescent="0.25">
      <c r="A7" s="5" t="s">
        <v>10</v>
      </c>
      <c r="B7" s="7">
        <f>B5-B6</f>
        <v>152836</v>
      </c>
      <c r="C7" s="7">
        <f>C5-C6</f>
        <v>170782</v>
      </c>
      <c r="D7" s="7">
        <f>D5-D6</f>
        <v>169148</v>
      </c>
      <c r="E7" s="7">
        <f>E5-E6</f>
        <v>180683</v>
      </c>
    </row>
    <row r="8" spans="1:5" x14ac:dyDescent="0.25">
      <c r="A8" s="4" t="s">
        <v>11</v>
      </c>
      <c r="B8" s="6">
        <v>21973</v>
      </c>
      <c r="C8" s="6">
        <v>25094</v>
      </c>
      <c r="D8" s="6">
        <v>24932</v>
      </c>
      <c r="E8" s="6">
        <v>26097</v>
      </c>
    </row>
    <row r="9" spans="1:5" x14ac:dyDescent="0.25">
      <c r="A9" s="4" t="s">
        <v>12</v>
      </c>
      <c r="B9" s="6">
        <v>11284</v>
      </c>
      <c r="C9" s="6">
        <v>11104</v>
      </c>
      <c r="D9" s="6">
        <v>11519</v>
      </c>
      <c r="E9" s="6">
        <v>11445</v>
      </c>
    </row>
    <row r="10" spans="1:5" x14ac:dyDescent="0.25">
      <c r="A10" s="5" t="s">
        <v>13</v>
      </c>
      <c r="B10" s="7">
        <v>108949</v>
      </c>
      <c r="C10" s="7">
        <v>119437</v>
      </c>
      <c r="D10" s="7">
        <v>114301</v>
      </c>
      <c r="E10" s="7">
        <v>123216</v>
      </c>
    </row>
    <row r="11" spans="1:5" x14ac:dyDescent="0.25">
      <c r="A11" s="4" t="s">
        <v>14</v>
      </c>
      <c r="B11" s="6">
        <v>94680</v>
      </c>
      <c r="C11" s="6">
        <v>99803</v>
      </c>
      <c r="D11" s="6">
        <v>96995</v>
      </c>
      <c r="E11" s="6">
        <v>93736</v>
      </c>
    </row>
    <row r="12" spans="1:5" x14ac:dyDescent="0.25">
      <c r="A12" s="2" t="s">
        <v>15</v>
      </c>
      <c r="B12" s="3"/>
      <c r="C12" s="3"/>
      <c r="D12" s="3"/>
      <c r="E12" s="3"/>
    </row>
    <row r="13" spans="1:5" x14ac:dyDescent="0.25">
      <c r="A13" s="4" t="s">
        <v>16</v>
      </c>
      <c r="B13" s="6">
        <v>351002</v>
      </c>
      <c r="C13" s="6">
        <v>352755</v>
      </c>
      <c r="D13" s="6">
        <v>352583</v>
      </c>
      <c r="E13" s="6">
        <v>364980</v>
      </c>
    </row>
    <row r="14" spans="1:5" x14ac:dyDescent="0.25">
      <c r="A14" s="4" t="s">
        <v>17</v>
      </c>
      <c r="B14" s="6">
        <v>134836</v>
      </c>
      <c r="C14" s="6">
        <v>135405</v>
      </c>
      <c r="D14" s="6">
        <v>143566</v>
      </c>
      <c r="E14" s="6">
        <v>152987</v>
      </c>
    </row>
    <row r="15" spans="1:5" x14ac:dyDescent="0.25">
      <c r="A15" s="4" t="s">
        <v>18</v>
      </c>
      <c r="B15" s="6">
        <v>125481</v>
      </c>
      <c r="C15" s="6">
        <v>153982</v>
      </c>
      <c r="D15" s="6">
        <v>145308</v>
      </c>
      <c r="E15" s="6">
        <v>176392</v>
      </c>
    </row>
    <row r="16" spans="1:5" x14ac:dyDescent="0.25">
      <c r="A16" s="4" t="s">
        <v>19</v>
      </c>
      <c r="B16" s="6">
        <v>26278</v>
      </c>
      <c r="C16" s="6">
        <v>28184</v>
      </c>
      <c r="D16" s="6">
        <v>29508</v>
      </c>
      <c r="E16" s="6">
        <v>33410</v>
      </c>
    </row>
    <row r="17" spans="1:5" x14ac:dyDescent="0.25">
      <c r="A17" s="4" t="s">
        <v>20</v>
      </c>
      <c r="B17" s="6">
        <v>109106</v>
      </c>
      <c r="C17" s="6">
        <v>98959</v>
      </c>
      <c r="D17" s="6">
        <v>95281</v>
      </c>
      <c r="E17" s="6">
        <v>85750</v>
      </c>
    </row>
    <row r="18" spans="1:5" x14ac:dyDescent="0.25">
      <c r="A18" s="4" t="s">
        <v>21</v>
      </c>
      <c r="B18" s="6">
        <v>287912</v>
      </c>
      <c r="C18" s="6">
        <v>302083</v>
      </c>
      <c r="D18" s="6">
        <v>290437</v>
      </c>
      <c r="E18" s="6">
        <v>308030</v>
      </c>
    </row>
    <row r="19" spans="1:5" x14ac:dyDescent="0.25">
      <c r="A19" s="4" t="s">
        <v>22</v>
      </c>
      <c r="B19" s="6">
        <v>5562</v>
      </c>
      <c r="C19" s="6">
        <v>-3068</v>
      </c>
      <c r="D19" s="6">
        <v>-214</v>
      </c>
      <c r="E19" s="6">
        <v>-19154</v>
      </c>
    </row>
    <row r="20" spans="1:5" x14ac:dyDescent="0.25">
      <c r="A20" s="4" t="s">
        <v>23</v>
      </c>
      <c r="B20" s="6">
        <v>2580000</v>
      </c>
      <c r="C20" s="6">
        <v>2067000</v>
      </c>
      <c r="D20" s="6">
        <v>2993000</v>
      </c>
      <c r="E20" s="6">
        <v>3500000</v>
      </c>
    </row>
    <row r="21" spans="1:5" x14ac:dyDescent="0.25">
      <c r="A21" s="2" t="s">
        <v>24</v>
      </c>
      <c r="B21" s="3"/>
      <c r="C21" s="3"/>
      <c r="D21" s="3"/>
      <c r="E21" s="3"/>
    </row>
    <row r="22" spans="1:5" x14ac:dyDescent="0.25">
      <c r="A22" s="4" t="s">
        <v>25</v>
      </c>
      <c r="B22" s="6">
        <v>104038</v>
      </c>
      <c r="C22" s="6">
        <v>122151</v>
      </c>
      <c r="D22" s="6">
        <v>110543</v>
      </c>
      <c r="E22" s="6">
        <v>118254</v>
      </c>
    </row>
    <row r="23" spans="1:5" x14ac:dyDescent="0.25">
      <c r="A23" s="4" t="s">
        <v>26</v>
      </c>
      <c r="B23" s="6">
        <v>11085</v>
      </c>
      <c r="C23" s="6">
        <v>10708</v>
      </c>
      <c r="D23" s="6">
        <v>10959</v>
      </c>
      <c r="E23" s="6">
        <v>9447</v>
      </c>
    </row>
    <row r="24" spans="1:5" x14ac:dyDescent="0.25">
      <c r="A24" s="5" t="s">
        <v>27</v>
      </c>
      <c r="B24" s="7">
        <f>B22-B23</f>
        <v>92953</v>
      </c>
      <c r="C24" s="7">
        <f>C22-C23</f>
        <v>111443</v>
      </c>
      <c r="D24" s="7">
        <f>D22-D23</f>
        <v>99584</v>
      </c>
      <c r="E24" s="7">
        <f>E22-E23</f>
        <v>108807</v>
      </c>
    </row>
    <row r="27" spans="1:5" x14ac:dyDescent="0.25">
      <c r="A27" s="44" t="s">
        <v>28</v>
      </c>
      <c r="B27" s="44"/>
      <c r="C27" s="45" t="s">
        <v>29</v>
      </c>
      <c r="D27" s="45"/>
      <c r="E27" s="45"/>
    </row>
    <row r="28" spans="1:5" x14ac:dyDescent="0.25">
      <c r="A28" s="46" t="s">
        <v>30</v>
      </c>
      <c r="B28" s="47"/>
      <c r="C28" s="48" t="s">
        <v>31</v>
      </c>
      <c r="D28" s="49"/>
      <c r="E28" s="49"/>
    </row>
  </sheetData>
  <mergeCells count="6">
    <mergeCell ref="A1:E1"/>
    <mergeCell ref="A2:E2"/>
    <mergeCell ref="A27:B27"/>
    <mergeCell ref="C27:E27"/>
    <mergeCell ref="A28:B28"/>
    <mergeCell ref="C28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2D9C-76E0-48B5-AF04-CC91C9662262}">
  <dimension ref="A1:F15"/>
  <sheetViews>
    <sheetView workbookViewId="0">
      <selection activeCell="A15" sqref="A15:D15"/>
    </sheetView>
  </sheetViews>
  <sheetFormatPr defaultRowHeight="15" x14ac:dyDescent="0.25"/>
  <cols>
    <col min="1" max="1" width="33.5703125" customWidth="1"/>
    <col min="2" max="2" width="21.28515625" customWidth="1"/>
    <col min="3" max="3" width="17.28515625" customWidth="1"/>
    <col min="4" max="6" width="16.85546875" customWidth="1"/>
  </cols>
  <sheetData>
    <row r="1" spans="1:6" ht="18" x14ac:dyDescent="0.25">
      <c r="A1" s="42" t="s">
        <v>32</v>
      </c>
      <c r="B1" s="42"/>
      <c r="C1" s="42"/>
      <c r="D1" s="42"/>
      <c r="E1" s="42"/>
      <c r="F1" s="42"/>
    </row>
    <row r="2" spans="1:6" x14ac:dyDescent="0.25">
      <c r="A2" s="43" t="s">
        <v>33</v>
      </c>
      <c r="B2" s="43"/>
      <c r="C2" s="43"/>
      <c r="D2" s="43"/>
      <c r="E2" s="43"/>
      <c r="F2" s="43"/>
    </row>
    <row r="3" spans="1:6" ht="25.5" x14ac:dyDescent="0.2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</row>
    <row r="4" spans="1:6" ht="48" x14ac:dyDescent="0.25">
      <c r="A4" s="8" t="s">
        <v>40</v>
      </c>
      <c r="B4" s="9" t="s">
        <v>41</v>
      </c>
      <c r="C4" s="12">
        <f>'RAW DATA'!D16/'RAW DATA'!D5</f>
        <v>7.6987098373273152E-2</v>
      </c>
      <c r="D4" s="12">
        <f>'RAW DATA'!E16/'RAW DATA'!E5</f>
        <v>8.543992225759843E-2</v>
      </c>
      <c r="E4" s="13">
        <f>D5/C5</f>
        <v>1.0470239546983671</v>
      </c>
      <c r="F4" s="11" t="str">
        <f>IF(E4&gt;1.031,"🔴  FLAG","✅  OK")</f>
        <v>🔴  FLAG</v>
      </c>
    </row>
    <row r="5" spans="1:6" ht="30.75" customHeight="1" x14ac:dyDescent="0.25">
      <c r="A5" s="8" t="s">
        <v>42</v>
      </c>
      <c r="B5" s="9" t="s">
        <v>43</v>
      </c>
      <c r="C5" s="12">
        <f>('RAW DATA'!D5-'RAW DATA'!D6)/'RAW DATA'!D5</f>
        <v>0.44131129577207562</v>
      </c>
      <c r="D5" s="12">
        <f>('RAW DATA'!E5-'RAW DATA'!E6)/'RAW DATA'!E5</f>
        <v>0.46206349815233932</v>
      </c>
      <c r="E5" s="14">
        <f>C6/D6</f>
        <v>1.0426652498717459</v>
      </c>
      <c r="F5" s="11" t="str">
        <f>IF(E5&gt;1.014,"🔴  FLAG","✅  OK")</f>
        <v>🔴  FLAG</v>
      </c>
    </row>
    <row r="6" spans="1:6" ht="39" customHeight="1" x14ac:dyDescent="0.25">
      <c r="A6" s="8" t="s">
        <v>44</v>
      </c>
      <c r="B6" s="9" t="s">
        <v>55</v>
      </c>
      <c r="C6" s="12">
        <f>1-(('RAW DATA'!D14+'RAW DATA'!D13*0.3)/'RAW DATA'!D13)</f>
        <v>0.29281644322046163</v>
      </c>
      <c r="D6" s="12">
        <f>1-(('RAW DATA'!E14+'RAW DATA'!E13*0.3)/'RAW DATA'!E13)</f>
        <v>0.28083456627760428</v>
      </c>
      <c r="E6" s="13">
        <f>D7/C7</f>
        <v>1.0202199407751411</v>
      </c>
      <c r="F6" s="11" t="str">
        <f>IF(E6&gt;1.04,"🔴  FLAG","✅  OK")</f>
        <v>✅  OK</v>
      </c>
    </row>
    <row r="7" spans="1:6" ht="33" customHeight="1" x14ac:dyDescent="0.25">
      <c r="A7" s="8" t="s">
        <v>45</v>
      </c>
      <c r="B7" s="9" t="s">
        <v>46</v>
      </c>
      <c r="C7" s="15">
        <f>'RAW DATA'!D5</f>
        <v>383285</v>
      </c>
      <c r="D7" s="15">
        <f>'RAW DATA'!E5</f>
        <v>391035</v>
      </c>
      <c r="E7" s="13">
        <f>D8/C8</f>
        <v>0.98067132500881316</v>
      </c>
      <c r="F7" s="11" t="str">
        <f>IF(E7&gt;1.134,"🔴  FLAG","✅  OK")</f>
        <v>✅  OK</v>
      </c>
    </row>
    <row r="8" spans="1:6" ht="37.5" customHeight="1" x14ac:dyDescent="0.25">
      <c r="A8" s="8" t="s">
        <v>47</v>
      </c>
      <c r="B8" s="9" t="s">
        <v>48</v>
      </c>
      <c r="C8" s="12">
        <f>'RAW DATA'!D9/('RAW DATA'!D9+('RAW DATA'!D13-'RAW DATA'!D14))</f>
        <v>5.2231835165233796E-2</v>
      </c>
      <c r="D8" s="12">
        <f>'RAW DATA'!E9/('RAW DATA'!E9+('RAW DATA'!E13-'RAW DATA'!E14))</f>
        <v>5.1222262999131747E-2</v>
      </c>
      <c r="E8" s="14">
        <f>C9/D9</f>
        <v>0.97467615294500598</v>
      </c>
      <c r="F8" s="11" t="str">
        <f>IF(E8&gt;1.001,"🔴  FLAG","✅  OK")</f>
        <v>✅  OK</v>
      </c>
    </row>
    <row r="9" spans="1:6" ht="30" customHeight="1" x14ac:dyDescent="0.25">
      <c r="A9" s="8" t="s">
        <v>49</v>
      </c>
      <c r="B9" s="9" t="s">
        <v>50</v>
      </c>
      <c r="C9" s="12">
        <f>'RAW DATA'!D8/'RAW DATA'!D5</f>
        <v>6.5048201729783317E-2</v>
      </c>
      <c r="D9" s="12">
        <f>'RAW DATA'!E8/'RAW DATA'!E5</f>
        <v>6.6738271510222866E-2</v>
      </c>
      <c r="E9" s="13">
        <f>D10/C10</f>
        <v>1.0525752244496027</v>
      </c>
      <c r="F9" s="11" t="str">
        <f>IF(E9&gt;1.054,"🔴  FLAG","✅  OK")</f>
        <v>✅  OK</v>
      </c>
    </row>
    <row r="10" spans="1:6" ht="30" customHeight="1" x14ac:dyDescent="0.25">
      <c r="A10" s="8" t="s">
        <v>51</v>
      </c>
      <c r="B10" s="9" t="s">
        <v>52</v>
      </c>
      <c r="C10" s="12">
        <f>('RAW DATA'!D17+'RAW DATA'!D15)/'RAW DATA'!D13</f>
        <v>0.68236131634253494</v>
      </c>
      <c r="D10" s="12">
        <f>('RAW DATA'!E17+'RAW DATA'!E15)/'RAW DATA'!E13</f>
        <v>0.7182366157049701</v>
      </c>
      <c r="E10" s="13">
        <f>D10/C10</f>
        <v>1.0525752244496027</v>
      </c>
      <c r="F10" s="11" t="str">
        <f>IF(E10&gt;1.111,"🔴  FLAG","✅  OK")</f>
        <v>✅  OK</v>
      </c>
    </row>
    <row r="11" spans="1:6" ht="45" customHeight="1" x14ac:dyDescent="0.25">
      <c r="A11" s="8" t="s">
        <v>53</v>
      </c>
      <c r="B11" s="9" t="s">
        <v>54</v>
      </c>
      <c r="C11" s="10" t="s">
        <v>56</v>
      </c>
      <c r="D11" s="16">
        <f>('RAW DATA'!E11-'RAW DATA'!E22)/'RAW DATA'!E13</f>
        <v>-6.7176283631979833E-2</v>
      </c>
      <c r="E11" s="13">
        <f>D11</f>
        <v>-6.7176283631979833E-2</v>
      </c>
      <c r="F11" s="11" t="str">
        <f>IF(E11&gt;0.018,"🔴  FLAG","✅  OK")</f>
        <v>✅  OK</v>
      </c>
    </row>
    <row r="13" spans="1:6" x14ac:dyDescent="0.25">
      <c r="A13" s="52" t="s">
        <v>57</v>
      </c>
      <c r="B13" s="53"/>
      <c r="C13" s="53"/>
      <c r="D13" s="53"/>
      <c r="E13" s="53"/>
      <c r="F13" s="53"/>
    </row>
    <row r="14" spans="1:6" ht="18" x14ac:dyDescent="0.25">
      <c r="A14" s="50" t="s">
        <v>58</v>
      </c>
      <c r="B14" s="54"/>
      <c r="C14" s="54"/>
      <c r="D14" s="55"/>
      <c r="E14" s="56">
        <f>-4.84+(0.92*E4)+(0.528*E5)+(0.404*E6)+(0.892*E7)+(0.115*E8)-(0.172*E9)+(4.679*E10)-(0.327*E11)</f>
        <v>2.8387279071664913</v>
      </c>
      <c r="F14" s="57"/>
    </row>
    <row r="15" spans="1:6" x14ac:dyDescent="0.25">
      <c r="A15" s="50" t="s">
        <v>59</v>
      </c>
      <c r="B15" s="50"/>
      <c r="C15" s="50"/>
      <c r="D15" s="50"/>
      <c r="E15" s="51" t="str">
        <f>IF(E14&gt;-1.78,"🔴  LIKELY MANIPULATOR",IF(E14&gt;-2.22,"🟡  GREY ZONE — Monitor","🟢  UNLIKELY MANIPULATOR"))</f>
        <v>🔴  LIKELY MANIPULATOR</v>
      </c>
      <c r="F15" s="51"/>
    </row>
  </sheetData>
  <mergeCells count="7">
    <mergeCell ref="A15:D15"/>
    <mergeCell ref="E15:F15"/>
    <mergeCell ref="A1:F1"/>
    <mergeCell ref="A2:F2"/>
    <mergeCell ref="A13:F13"/>
    <mergeCell ref="A14:D14"/>
    <mergeCell ref="E14:F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D78F-1827-4F53-B5C8-05880BC1871C}">
  <dimension ref="A1:F16"/>
  <sheetViews>
    <sheetView workbookViewId="0">
      <selection activeCell="E10" sqref="E10:F10"/>
    </sheetView>
  </sheetViews>
  <sheetFormatPr defaultRowHeight="15" x14ac:dyDescent="0.25"/>
  <cols>
    <col min="1" max="1" width="31.140625" customWidth="1"/>
    <col min="2" max="2" width="25.42578125" customWidth="1"/>
    <col min="3" max="3" width="32.28515625" customWidth="1"/>
    <col min="4" max="4" width="17.7109375" customWidth="1"/>
    <col min="5" max="5" width="17.85546875" customWidth="1"/>
    <col min="6" max="6" width="21.140625" customWidth="1"/>
  </cols>
  <sheetData>
    <row r="1" spans="1:6" ht="18" x14ac:dyDescent="0.25">
      <c r="A1" s="59" t="s">
        <v>60</v>
      </c>
      <c r="B1" s="59"/>
      <c r="C1" s="59"/>
      <c r="D1" s="59"/>
      <c r="E1" s="59"/>
      <c r="F1" s="59"/>
    </row>
    <row r="2" spans="1:6" x14ac:dyDescent="0.25">
      <c r="A2" s="60" t="s">
        <v>61</v>
      </c>
      <c r="B2" s="60"/>
      <c r="C2" s="60"/>
      <c r="D2" s="60"/>
      <c r="E2" s="60"/>
      <c r="F2" s="60"/>
    </row>
    <row r="3" spans="1:6" x14ac:dyDescent="0.25">
      <c r="A3" s="17" t="s">
        <v>62</v>
      </c>
      <c r="B3" s="17" t="s">
        <v>63</v>
      </c>
      <c r="C3" s="17" t="s">
        <v>64</v>
      </c>
      <c r="D3" s="17" t="s">
        <v>65</v>
      </c>
      <c r="E3" s="17" t="s">
        <v>66</v>
      </c>
      <c r="F3" s="17" t="s">
        <v>59</v>
      </c>
    </row>
    <row r="4" spans="1:6" ht="36" x14ac:dyDescent="0.25">
      <c r="A4" s="18" t="s">
        <v>67</v>
      </c>
      <c r="B4" s="19" t="s">
        <v>72</v>
      </c>
      <c r="C4" s="31">
        <f>('RAW DATA'!E14-'RAW DATA'!E15)/'RAW DATA'!E13</f>
        <v>-6.4126801468573622E-2</v>
      </c>
      <c r="D4" s="20">
        <v>1.2</v>
      </c>
      <c r="E4" s="30">
        <f>C4*D4</f>
        <v>-7.6952161762288349E-2</v>
      </c>
      <c r="F4" s="19" t="s">
        <v>77</v>
      </c>
    </row>
    <row r="5" spans="1:6" ht="36" x14ac:dyDescent="0.25">
      <c r="A5" s="18" t="s">
        <v>68</v>
      </c>
      <c r="B5" s="19" t="s">
        <v>73</v>
      </c>
      <c r="C5" s="31">
        <f>'RAW DATA'!E19/'RAW DATA'!E13</f>
        <v>-5.24795879226259E-2</v>
      </c>
      <c r="D5" s="20">
        <v>1.4</v>
      </c>
      <c r="E5" s="30">
        <f>C5*D5</f>
        <v>-7.3471423091676258E-2</v>
      </c>
      <c r="F5" s="19" t="s">
        <v>78</v>
      </c>
    </row>
    <row r="6" spans="1:6" ht="36" x14ac:dyDescent="0.25">
      <c r="A6" s="18" t="s">
        <v>69</v>
      </c>
      <c r="B6" s="19" t="s">
        <v>74</v>
      </c>
      <c r="C6" s="31">
        <f>'RAW DATA'!E10/'RAW DATA'!E13</f>
        <v>0.33759658063455533</v>
      </c>
      <c r="D6" s="20">
        <v>3.3</v>
      </c>
      <c r="E6" s="30">
        <f>C6*D6</f>
        <v>1.1140687160940326</v>
      </c>
      <c r="F6" s="19" t="s">
        <v>79</v>
      </c>
    </row>
    <row r="7" spans="1:6" ht="36" x14ac:dyDescent="0.25">
      <c r="A7" s="18" t="s">
        <v>70</v>
      </c>
      <c r="B7" s="19" t="s">
        <v>75</v>
      </c>
      <c r="C7" s="31">
        <f>'RAW DATA'!E20/'RAW DATA'!E18</f>
        <v>11.362529623737947</v>
      </c>
      <c r="D7" s="20">
        <v>0.6</v>
      </c>
      <c r="E7" s="30">
        <f>C7*D7</f>
        <v>6.8175177742427682</v>
      </c>
      <c r="F7" s="19" t="s">
        <v>80</v>
      </c>
    </row>
    <row r="8" spans="1:6" ht="36" x14ac:dyDescent="0.25">
      <c r="A8" s="18" t="s">
        <v>71</v>
      </c>
      <c r="B8" s="19" t="s">
        <v>76</v>
      </c>
      <c r="C8" s="31">
        <f>'RAW DATA'!E5/'RAW DATA'!E13</f>
        <v>1.0713874732862074</v>
      </c>
      <c r="D8" s="20">
        <v>1</v>
      </c>
      <c r="E8" s="30">
        <f>C8*D8</f>
        <v>1.0713874732862074</v>
      </c>
      <c r="F8" s="19" t="s">
        <v>81</v>
      </c>
    </row>
    <row r="10" spans="1:6" x14ac:dyDescent="0.25">
      <c r="A10" s="50" t="s">
        <v>82</v>
      </c>
      <c r="B10" s="50"/>
      <c r="C10" s="50"/>
      <c r="D10" s="50"/>
      <c r="E10" s="65">
        <f>SUM(E4:E8)</f>
        <v>8.8525503787690436</v>
      </c>
      <c r="F10" s="65"/>
    </row>
    <row r="11" spans="1:6" ht="18" customHeight="1" x14ac:dyDescent="0.25">
      <c r="A11" s="50" t="s">
        <v>83</v>
      </c>
      <c r="B11" s="50"/>
      <c r="C11" s="50"/>
      <c r="D11" s="50"/>
      <c r="E11" s="51" t="str">
        <f>IF(E10&gt;2.99,"🟢  SAFE ZONE — No distress signal",IF(E10&gt;1.81,"🟡  GREY ZONE — Monitor closely","🔴  DISTRESS ZONE — High bankruptcy risk"))</f>
        <v>🟢  SAFE ZONE — No distress signal</v>
      </c>
      <c r="F11" s="51"/>
    </row>
    <row r="13" spans="1:6" ht="21" customHeight="1" x14ac:dyDescent="0.25">
      <c r="A13" s="58" t="s">
        <v>84</v>
      </c>
      <c r="B13" s="58"/>
      <c r="C13" s="58"/>
      <c r="D13" s="58"/>
      <c r="E13" s="58"/>
      <c r="F13" s="58"/>
    </row>
    <row r="14" spans="1:6" ht="21" customHeight="1" x14ac:dyDescent="0.25">
      <c r="A14" s="21" t="s">
        <v>85</v>
      </c>
      <c r="B14" s="21" t="s">
        <v>86</v>
      </c>
      <c r="C14" s="22" t="s">
        <v>87</v>
      </c>
      <c r="D14" s="23"/>
      <c r="E14" s="23"/>
      <c r="F14" s="23"/>
    </row>
    <row r="15" spans="1:6" ht="21" customHeight="1" x14ac:dyDescent="0.25">
      <c r="A15" s="24" t="s">
        <v>88</v>
      </c>
      <c r="B15" s="24" t="s">
        <v>89</v>
      </c>
      <c r="C15" s="25" t="s">
        <v>90</v>
      </c>
      <c r="D15" s="26"/>
      <c r="E15" s="26"/>
      <c r="F15" s="26"/>
    </row>
    <row r="16" spans="1:6" ht="21" customHeight="1" x14ac:dyDescent="0.25">
      <c r="A16" s="27" t="s">
        <v>91</v>
      </c>
      <c r="B16" s="27" t="s">
        <v>92</v>
      </c>
      <c r="C16" s="28" t="s">
        <v>93</v>
      </c>
      <c r="D16" s="29"/>
      <c r="E16" s="29"/>
      <c r="F16" s="29"/>
    </row>
  </sheetData>
  <mergeCells count="7">
    <mergeCell ref="A13:F13"/>
    <mergeCell ref="A1:F1"/>
    <mergeCell ref="A2:F2"/>
    <mergeCell ref="A10:D10"/>
    <mergeCell ref="A11:D11"/>
    <mergeCell ref="E11:F11"/>
    <mergeCell ref="E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224E-8717-441B-AC3E-D3D8FF07919B}">
  <dimension ref="A1:F10"/>
  <sheetViews>
    <sheetView workbookViewId="0">
      <selection activeCell="F9" sqref="F9"/>
    </sheetView>
  </sheetViews>
  <sheetFormatPr defaultRowHeight="15" x14ac:dyDescent="0.25"/>
  <cols>
    <col min="1" max="1" width="11.28515625" customWidth="1"/>
    <col min="2" max="2" width="38.140625" customWidth="1"/>
    <col min="3" max="3" width="23.28515625" customWidth="1"/>
    <col min="4" max="5" width="21.140625" customWidth="1"/>
    <col min="6" max="6" width="35.140625" customWidth="1"/>
  </cols>
  <sheetData>
    <row r="1" spans="1:6" ht="18" x14ac:dyDescent="0.25">
      <c r="A1" s="42" t="s">
        <v>94</v>
      </c>
      <c r="B1" s="42"/>
      <c r="C1" s="42"/>
      <c r="D1" s="42"/>
      <c r="E1" s="42"/>
      <c r="F1" s="42"/>
    </row>
    <row r="2" spans="1:6" x14ac:dyDescent="0.25">
      <c r="A2" s="43" t="s">
        <v>95</v>
      </c>
      <c r="B2" s="43"/>
      <c r="C2" s="43"/>
      <c r="D2" s="43"/>
      <c r="E2" s="43"/>
      <c r="F2" s="43"/>
    </row>
    <row r="3" spans="1:6" ht="25.5" x14ac:dyDescent="0.25">
      <c r="A3" s="1" t="s">
        <v>96</v>
      </c>
      <c r="B3" s="1" t="s">
        <v>97</v>
      </c>
      <c r="C3" s="1" t="s">
        <v>98</v>
      </c>
      <c r="D3" s="1" t="s">
        <v>99</v>
      </c>
      <c r="E3" s="1" t="s">
        <v>100</v>
      </c>
      <c r="F3" s="1" t="s">
        <v>101</v>
      </c>
    </row>
    <row r="4" spans="1:6" ht="44.25" customHeight="1" x14ac:dyDescent="0.25">
      <c r="A4" s="2" t="s">
        <v>102</v>
      </c>
      <c r="B4" s="32" t="s">
        <v>103</v>
      </c>
      <c r="C4" s="9" t="s">
        <v>112</v>
      </c>
      <c r="D4">
        <f>'RAW DATA'!D5</f>
        <v>383285</v>
      </c>
      <c r="E4">
        <f>'RAW DATA'!E5</f>
        <v>391035</v>
      </c>
      <c r="F4" s="35" t="str">
        <f>IF(AND((E4-D4)/D4&gt;0.1,('[1]Raw Data'!E22-'[1]Raw Data'!D22)/'[1]Raw Data'!D22&lt;0.02),"🔴  FLAG","✅  OK")</f>
        <v>✅  OK</v>
      </c>
    </row>
    <row r="5" spans="1:6" ht="44.25" customHeight="1" x14ac:dyDescent="0.25">
      <c r="A5" s="2" t="s">
        <v>104</v>
      </c>
      <c r="B5" s="32" t="s">
        <v>105</v>
      </c>
      <c r="C5" s="9" t="s">
        <v>113</v>
      </c>
      <c r="D5">
        <f>'RAW DATA'!D16</f>
        <v>29508</v>
      </c>
      <c r="E5">
        <f>'RAW DATA'!E16</f>
        <v>33410</v>
      </c>
      <c r="F5" s="35" t="str">
        <f>IF((E5-D5)/D5&gt;(2*('[1]Raw Data'!E5-'[1]Raw Data'!D5)/'[1]Raw Data'!D5),"🔴  FLAG","✅  OK")</f>
        <v>🔴  FLAG</v>
      </c>
    </row>
    <row r="6" spans="1:6" ht="44.25" customHeight="1" x14ac:dyDescent="0.25">
      <c r="A6" s="2" t="s">
        <v>106</v>
      </c>
      <c r="B6" s="32" t="s">
        <v>107</v>
      </c>
      <c r="C6" s="9" t="s">
        <v>114</v>
      </c>
      <c r="D6" s="33">
        <f>('RAW DATA'!D5-'RAW DATA'!D6)/'RAW DATA'!D5</f>
        <v>0.44131129577207562</v>
      </c>
      <c r="E6" s="33">
        <f>('RAW DATA'!E5-'RAW DATA'!E6)/'RAW DATA'!E5</f>
        <v>0.46206349815233932</v>
      </c>
      <c r="F6" s="35" t="str">
        <f>IF(E6&lt;D6,"🔴  FLAG — Margin declined","✅  OK — Margin stable or improving")</f>
        <v>✅  OK — Margin stable or improving</v>
      </c>
    </row>
    <row r="7" spans="1:6" ht="44.25" customHeight="1" x14ac:dyDescent="0.25">
      <c r="A7" s="2" t="s">
        <v>108</v>
      </c>
      <c r="B7" s="32" t="s">
        <v>109</v>
      </c>
      <c r="C7" s="9" t="s">
        <v>115</v>
      </c>
      <c r="D7" s="33">
        <f>'RAW DATA'!D17/('RAW DATA'!D13-'RAW DATA'!D18)</f>
        <v>1.5331799311299199</v>
      </c>
      <c r="E7" s="33">
        <f>'RAW DATA'!E17/('RAW DATA'!E13-'RAW DATA'!E18)</f>
        <v>1.5057067603160668</v>
      </c>
      <c r="F7" s="35" t="str">
        <f>IF(ABS((E7-D7)/D7)&gt;0.4,"🔴  FLAG","✅  OK")</f>
        <v>✅  OK</v>
      </c>
    </row>
    <row r="8" spans="1:6" ht="44.25" customHeight="1" x14ac:dyDescent="0.25">
      <c r="A8" s="2" t="s">
        <v>110</v>
      </c>
      <c r="B8" s="32" t="s">
        <v>111</v>
      </c>
      <c r="C8" s="9" t="s">
        <v>116</v>
      </c>
      <c r="D8">
        <f>'RAW DATA'!D11</f>
        <v>96995</v>
      </c>
      <c r="E8">
        <f>'RAW DATA'!E11</f>
        <v>93736</v>
      </c>
      <c r="F8" s="35" t="str">
        <f>IF(AND(E8&gt;0,'[1]Raw Data'!E24&lt;0),"🔴  FLAG — Paper profits only","✅  OK — Cash backed")</f>
        <v>✅  OK — Cash backed</v>
      </c>
    </row>
    <row r="10" spans="1:6" ht="18" x14ac:dyDescent="0.25">
      <c r="A10" s="61" t="s">
        <v>117</v>
      </c>
      <c r="B10" s="61"/>
      <c r="C10" s="61"/>
      <c r="D10" s="61"/>
      <c r="E10" s="61"/>
      <c r="F10" s="34">
        <f>COUNTIF(F4:F8,"🔴  FLAG")</f>
        <v>1</v>
      </c>
    </row>
  </sheetData>
  <mergeCells count="3">
    <mergeCell ref="A1:F1"/>
    <mergeCell ref="A2:F2"/>
    <mergeCell ref="A10:E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693EE-5E88-4B16-A0F7-FDCB0F55A120}">
  <dimension ref="A1:C26"/>
  <sheetViews>
    <sheetView workbookViewId="0">
      <selection activeCell="A26" sqref="A26:C26"/>
    </sheetView>
  </sheetViews>
  <sheetFormatPr defaultRowHeight="15" x14ac:dyDescent="0.25"/>
  <cols>
    <col min="1" max="1" width="32.28515625" customWidth="1"/>
    <col min="2" max="2" width="34.28515625" customWidth="1"/>
    <col min="3" max="3" width="29.140625" customWidth="1"/>
  </cols>
  <sheetData>
    <row r="1" spans="1:3" ht="23.25" x14ac:dyDescent="0.25">
      <c r="A1" s="62" t="s">
        <v>118</v>
      </c>
      <c r="B1" s="62"/>
      <c r="C1" s="62"/>
    </row>
    <row r="2" spans="1:3" x14ac:dyDescent="0.25">
      <c r="A2" s="63" t="s">
        <v>119</v>
      </c>
      <c r="B2" s="63"/>
      <c r="C2" s="63"/>
    </row>
    <row r="3" spans="1:3" ht="21" customHeight="1" x14ac:dyDescent="0.25">
      <c r="A3" s="36" t="s">
        <v>120</v>
      </c>
      <c r="B3" s="37" t="s">
        <v>121</v>
      </c>
      <c r="C3" s="38"/>
    </row>
    <row r="4" spans="1:3" ht="21" customHeight="1" x14ac:dyDescent="0.25">
      <c r="A4" s="36" t="s">
        <v>122</v>
      </c>
      <c r="B4" s="37" t="s">
        <v>123</v>
      </c>
      <c r="C4" s="38"/>
    </row>
    <row r="5" spans="1:3" ht="21" customHeight="1" x14ac:dyDescent="0.25">
      <c r="A5" s="36" t="s">
        <v>124</v>
      </c>
      <c r="B5" s="37" t="s">
        <v>125</v>
      </c>
      <c r="C5" s="38"/>
    </row>
    <row r="6" spans="1:3" ht="21" customHeight="1" x14ac:dyDescent="0.25">
      <c r="A6" s="36" t="s">
        <v>126</v>
      </c>
      <c r="B6" s="37" t="s">
        <v>127</v>
      </c>
      <c r="C6" s="38"/>
    </row>
    <row r="7" spans="1:3" ht="21" customHeight="1" x14ac:dyDescent="0.25">
      <c r="A7" s="36" t="s">
        <v>128</v>
      </c>
      <c r="B7" s="37" t="s">
        <v>129</v>
      </c>
      <c r="C7" s="38"/>
    </row>
    <row r="8" spans="1:3" ht="21" customHeight="1" x14ac:dyDescent="0.25"/>
    <row r="9" spans="1:3" ht="21" customHeight="1" x14ac:dyDescent="0.25">
      <c r="A9" s="61" t="s">
        <v>130</v>
      </c>
      <c r="B9" s="61"/>
      <c r="C9" s="61"/>
    </row>
    <row r="10" spans="1:3" ht="21" customHeight="1" x14ac:dyDescent="0.25">
      <c r="A10" s="36" t="s">
        <v>131</v>
      </c>
      <c r="B10" s="41" cm="1">
        <f t="array" ref="B10:C10">'BENEISH M-SCORE'!E14:F14</f>
        <v>2.8387279071664913</v>
      </c>
      <c r="C10" s="40">
        <v>0</v>
      </c>
    </row>
    <row r="11" spans="1:3" ht="21" customHeight="1" x14ac:dyDescent="0.25">
      <c r="A11" s="36" t="s">
        <v>132</v>
      </c>
      <c r="B11" s="40" t="str" cm="1">
        <f t="array" ref="B11:C11">'BENEISH M-SCORE'!E15:F15</f>
        <v>🔴  LIKELY MANIPULATOR</v>
      </c>
      <c r="C11" s="40">
        <v>0</v>
      </c>
    </row>
    <row r="12" spans="1:3" ht="21" customHeight="1" x14ac:dyDescent="0.25">
      <c r="A12" s="36" t="s">
        <v>133</v>
      </c>
      <c r="B12" s="41" cm="1">
        <f t="array" ref="B12:C12">'ALTMAN Z-SCORE'!E10:F10</f>
        <v>8.8525503787690436</v>
      </c>
      <c r="C12" s="40">
        <v>0</v>
      </c>
    </row>
    <row r="13" spans="1:3" ht="21" customHeight="1" x14ac:dyDescent="0.25">
      <c r="A13" s="36" t="s">
        <v>134</v>
      </c>
      <c r="B13" s="40" t="str" cm="1">
        <f t="array" ref="B13:C13">'ALTMAN Z-SCORE'!E11:F11</f>
        <v>🟢  SAFE ZONE — No distress signal</v>
      </c>
      <c r="C13" s="40">
        <v>0</v>
      </c>
    </row>
    <row r="14" spans="1:3" ht="21" customHeight="1" x14ac:dyDescent="0.25">
      <c r="A14" s="36" t="s">
        <v>135</v>
      </c>
      <c r="B14" s="40">
        <f>'RED FLAGS'!F10</f>
        <v>1</v>
      </c>
      <c r="C14" s="40"/>
    </row>
    <row r="15" spans="1:3" ht="21" customHeight="1" x14ac:dyDescent="0.25"/>
    <row r="16" spans="1:3" ht="22.5" customHeight="1" x14ac:dyDescent="0.25">
      <c r="A16" s="61" t="s">
        <v>136</v>
      </c>
      <c r="B16" s="61"/>
      <c r="C16" s="61"/>
    </row>
    <row r="17" spans="1:3" ht="22.5" customHeight="1" x14ac:dyDescent="0.25">
      <c r="A17" s="36" t="s">
        <v>137</v>
      </c>
      <c r="B17" s="39" t="str">
        <f>IF(OR('[1]Beneish M-Score'!E14&gt;-1.78,'[1]Altman Z-Score'!E10&lt;1.81,'[1]Custom Red Flags'!F10&gt;=4),"🔴  HIGH RISK",IF(OR('[1]Beneish M-Score'!E14&gt;-2.22,'[1]Altman Z-Score'!E10&lt;2.99,'[1]Custom Red Flags'!F10&gt;=2),"🟡  MEDIUM RISK","🟢  LOW RISK"))</f>
        <v>🔴  HIGH RISK</v>
      </c>
      <c r="C17" s="38"/>
    </row>
    <row r="19" spans="1:3" ht="18" customHeight="1" x14ac:dyDescent="0.25">
      <c r="A19" s="61" t="s">
        <v>138</v>
      </c>
      <c r="B19" s="61"/>
      <c r="C19" s="61"/>
    </row>
    <row r="20" spans="1:3" ht="18" customHeight="1" x14ac:dyDescent="0.25">
      <c r="A20" s="36" t="s">
        <v>139</v>
      </c>
      <c r="B20" s="37" t="s">
        <v>140</v>
      </c>
      <c r="C20" s="38"/>
    </row>
    <row r="21" spans="1:3" ht="18" customHeight="1" x14ac:dyDescent="0.25">
      <c r="A21" s="36" t="s">
        <v>141</v>
      </c>
      <c r="B21" s="37" t="s">
        <v>142</v>
      </c>
      <c r="C21" s="38"/>
    </row>
    <row r="22" spans="1:3" ht="18" customHeight="1" x14ac:dyDescent="0.25">
      <c r="A22" s="36" t="s">
        <v>143</v>
      </c>
      <c r="B22" s="37" t="s">
        <v>144</v>
      </c>
      <c r="C22" s="38"/>
    </row>
    <row r="23" spans="1:3" ht="18" customHeight="1" x14ac:dyDescent="0.25">
      <c r="A23" s="36" t="s">
        <v>145</v>
      </c>
      <c r="B23" s="37" t="s">
        <v>146</v>
      </c>
      <c r="C23" s="38"/>
    </row>
    <row r="24" spans="1:3" ht="18" customHeight="1" x14ac:dyDescent="0.25">
      <c r="A24" s="36" t="s">
        <v>147</v>
      </c>
      <c r="B24" s="37" t="s">
        <v>148</v>
      </c>
      <c r="C24" s="38"/>
    </row>
    <row r="26" spans="1:3" x14ac:dyDescent="0.25">
      <c r="A26" s="64" t="s">
        <v>149</v>
      </c>
      <c r="B26" s="64"/>
      <c r="C26" s="64"/>
    </row>
  </sheetData>
  <mergeCells count="6">
    <mergeCell ref="A26:C26"/>
    <mergeCell ref="A1:C1"/>
    <mergeCell ref="A2:C2"/>
    <mergeCell ref="A9:C9"/>
    <mergeCell ref="A16:C16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BENEISH M-SCORE</vt:lpstr>
      <vt:lpstr>ALTMAN Z-SCORE</vt:lpstr>
      <vt:lpstr>RED FLAGS</vt:lpstr>
      <vt:lpstr>FINAL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PANDEY</dc:creator>
  <cp:lastModifiedBy>DILIP PANDEY</cp:lastModifiedBy>
  <cp:lastPrinted>2026-05-14T12:31:05Z</cp:lastPrinted>
  <dcterms:created xsi:type="dcterms:W3CDTF">2026-05-14T11:25:38Z</dcterms:created>
  <dcterms:modified xsi:type="dcterms:W3CDTF">2026-05-15T12:53:04Z</dcterms:modified>
</cp:coreProperties>
</file>